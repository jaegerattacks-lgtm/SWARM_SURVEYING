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 Project\Documentation\"/>
    </mc:Choice>
  </mc:AlternateContent>
  <xr:revisionPtr revIDLastSave="0" documentId="8_{B7ECFC30-ED40-4D9A-BC3C-0EB749C48802}" xr6:coauthVersionLast="47" xr6:coauthVersionMax="47" xr10:uidLastSave="{00000000-0000-0000-0000-000000000000}"/>
  <bookViews>
    <workbookView xWindow="-108" yWindow="-108" windowWidth="23256" windowHeight="12576" xr2:uid="{D530620E-60F6-4BDC-A93A-0A88BE053C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I15" i="1"/>
  <c r="I11" i="1"/>
  <c r="I13" i="1" s="1"/>
  <c r="I14" i="1" s="1"/>
  <c r="G7" i="1"/>
  <c r="H7" i="1"/>
  <c r="I10" i="1"/>
  <c r="I12" i="1" s="1"/>
  <c r="F10" i="1"/>
  <c r="F11" i="1"/>
  <c r="G4" i="1"/>
  <c r="H4" i="1"/>
  <c r="G5" i="1"/>
  <c r="H5" i="1"/>
  <c r="G6" i="1"/>
  <c r="H6" i="1"/>
  <c r="G8" i="1"/>
  <c r="H8" i="1"/>
  <c r="G3" i="1"/>
  <c r="H3" i="1" s="1"/>
  <c r="I4" i="1"/>
  <c r="J4" i="1"/>
  <c r="I5" i="1"/>
  <c r="J5" i="1"/>
  <c r="I6" i="1"/>
  <c r="J6" i="1"/>
  <c r="I7" i="1"/>
  <c r="J7" i="1"/>
  <c r="I8" i="1"/>
  <c r="J8" i="1"/>
  <c r="I3" i="1"/>
  <c r="J3" i="1" s="1"/>
  <c r="F12" i="1" l="1"/>
  <c r="F15" i="1" s="1"/>
  <c r="F14" i="1" l="1"/>
  <c r="F13" i="1"/>
</calcChain>
</file>

<file path=xl/sharedStrings.xml><?xml version="1.0" encoding="utf-8"?>
<sst xmlns="http://schemas.openxmlformats.org/spreadsheetml/2006/main" count="57" uniqueCount="46">
  <si>
    <t xml:space="preserve">Component </t>
  </si>
  <si>
    <t>Quantity</t>
  </si>
  <si>
    <t xml:space="preserve">Current </t>
  </si>
  <si>
    <t>Voltage</t>
  </si>
  <si>
    <t xml:space="preserve">Idle State </t>
  </si>
  <si>
    <t xml:space="preserve">Nominal State  </t>
  </si>
  <si>
    <t xml:space="preserve">Peak State  </t>
  </si>
  <si>
    <t>Raspberry Pi 5 Model B 16 GB RAM</t>
  </si>
  <si>
    <t xml:space="preserve"> ESP32-S Development Board CH340 </t>
  </si>
  <si>
    <t>VL53L1X</t>
  </si>
  <si>
    <t xml:space="preserve">BTS7960 </t>
  </si>
  <si>
    <t>MPU9250</t>
  </si>
  <si>
    <t>-</t>
  </si>
  <si>
    <t>Max Power</t>
  </si>
  <si>
    <t>Avg Power</t>
  </si>
  <si>
    <t xml:space="preserve">Max Power per unit </t>
  </si>
  <si>
    <t xml:space="preserve">Max Total Power </t>
  </si>
  <si>
    <t>Avg Power per unit</t>
  </si>
  <si>
    <t xml:space="preserve">Avg Total Power </t>
  </si>
  <si>
    <t>Energy</t>
  </si>
  <si>
    <t xml:space="preserve">Capacity </t>
  </si>
  <si>
    <t>Ah</t>
  </si>
  <si>
    <t>Wh</t>
  </si>
  <si>
    <t>W</t>
  </si>
  <si>
    <t>A</t>
  </si>
  <si>
    <t>Peak Current</t>
  </si>
  <si>
    <t xml:space="preserve">Min C-Rating </t>
  </si>
  <si>
    <t>C</t>
  </si>
  <si>
    <t>Desired Work Time</t>
  </si>
  <si>
    <t>V</t>
  </si>
  <si>
    <t>h</t>
  </si>
  <si>
    <t>Desired Voltage</t>
  </si>
  <si>
    <t xml:space="preserve">Cell Voltage </t>
  </si>
  <si>
    <t xml:space="preserve">Pack Voltage </t>
  </si>
  <si>
    <t>No. of cells in serires</t>
  </si>
  <si>
    <t xml:space="preserve">Cell Capacity </t>
  </si>
  <si>
    <t>No. of cells in parallel</t>
  </si>
  <si>
    <t>Pack Capacity</t>
  </si>
  <si>
    <t xml:space="preserve">Cell max Current </t>
  </si>
  <si>
    <t>Pack max Current</t>
  </si>
  <si>
    <t>Total No. of Cells</t>
  </si>
  <si>
    <t xml:space="preserve">Calculations </t>
  </si>
  <si>
    <t>Battery Model</t>
  </si>
  <si>
    <t>INR18650MH1</t>
  </si>
  <si>
    <t>SG555123000-30K</t>
  </si>
  <si>
    <t>C_Rating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</si>
</sst>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1252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Fill="1" applyBorder="1"/>
    <xf numFmtId="0" fontId="0" fillId="0" borderId="1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F77A-33FF-4799-B505-4AEA425F8852}">
  <dimension ref="A1:J16"/>
  <sheetViews>
    <sheetView tabSelected="1" workbookViewId="0">
      <selection activeCell="G21" sqref="G21"/>
    </sheetView>
  </sheetViews>
  <sheetFormatPr defaultRowHeight="14.4" x14ac:dyDescent="0.3"/>
  <cols>
    <col min="1" max="1" width="39" customWidth="1"/>
    <col min="2" max="2" width="18.77734375" customWidth="1"/>
    <col min="3" max="4" width="17.77734375" customWidth="1"/>
    <col min="5" max="8" width="17.88671875" customWidth="1"/>
    <col min="9" max="9" width="17.6640625" customWidth="1"/>
    <col min="10" max="10" width="17.88671875" customWidth="1"/>
  </cols>
  <sheetData>
    <row r="1" spans="1:10" x14ac:dyDescent="0.3">
      <c r="A1" s="29" t="s">
        <v>0</v>
      </c>
      <c r="B1" s="20" t="s">
        <v>1</v>
      </c>
      <c r="C1" s="20" t="s">
        <v>3</v>
      </c>
      <c r="D1" s="20" t="s">
        <v>2</v>
      </c>
      <c r="E1" s="20"/>
      <c r="F1" s="20"/>
      <c r="G1" s="20" t="s">
        <v>17</v>
      </c>
      <c r="H1" s="20" t="s">
        <v>18</v>
      </c>
      <c r="I1" s="20" t="s">
        <v>15</v>
      </c>
      <c r="J1" s="22" t="s">
        <v>16</v>
      </c>
    </row>
    <row r="2" spans="1:10" ht="15" thickBot="1" x14ac:dyDescent="0.35">
      <c r="A2" s="30"/>
      <c r="B2" s="21"/>
      <c r="C2" s="21"/>
      <c r="D2" s="11" t="s">
        <v>4</v>
      </c>
      <c r="E2" s="11" t="s">
        <v>5</v>
      </c>
      <c r="F2" s="11" t="s">
        <v>6</v>
      </c>
      <c r="G2" s="21"/>
      <c r="H2" s="21"/>
      <c r="I2" s="21"/>
      <c r="J2" s="23"/>
    </row>
    <row r="3" spans="1:10" x14ac:dyDescent="0.3">
      <c r="A3" s="8" t="s">
        <v>7</v>
      </c>
      <c r="B3" s="9">
        <v>1</v>
      </c>
      <c r="C3" s="9">
        <v>5</v>
      </c>
      <c r="D3" s="9">
        <v>1</v>
      </c>
      <c r="E3" s="9">
        <v>2</v>
      </c>
      <c r="F3" s="9">
        <v>3</v>
      </c>
      <c r="G3" s="9">
        <f>PRODUCT(C3,E3)</f>
        <v>10</v>
      </c>
      <c r="H3" s="9">
        <f>PRODUCT(G3,B3)</f>
        <v>10</v>
      </c>
      <c r="I3" s="9">
        <f t="shared" ref="I3:I8" si="0">PRODUCT(C3,F3)</f>
        <v>15</v>
      </c>
      <c r="J3" s="10">
        <f t="shared" ref="J3:J8" si="1">PRODUCT(I3,B3)</f>
        <v>15</v>
      </c>
    </row>
    <row r="4" spans="1:10" x14ac:dyDescent="0.3">
      <c r="A4" s="2" t="s">
        <v>8</v>
      </c>
      <c r="B4" s="1">
        <v>1</v>
      </c>
      <c r="C4" s="1">
        <v>3.3</v>
      </c>
      <c r="D4" s="1">
        <v>0.02</v>
      </c>
      <c r="E4" s="1">
        <v>0.15</v>
      </c>
      <c r="F4" s="1">
        <v>0.6</v>
      </c>
      <c r="G4" s="1">
        <f t="shared" ref="G4:G8" si="2">PRODUCT(C4,E4)</f>
        <v>0.49499999999999994</v>
      </c>
      <c r="H4" s="1">
        <f t="shared" ref="H4:H8" si="3">PRODUCT(G4,B4)</f>
        <v>0.49499999999999994</v>
      </c>
      <c r="I4" s="1">
        <f t="shared" si="0"/>
        <v>1.9799999999999998</v>
      </c>
      <c r="J4" s="3">
        <f t="shared" si="1"/>
        <v>1.9799999999999998</v>
      </c>
    </row>
    <row r="5" spans="1:10" x14ac:dyDescent="0.3">
      <c r="A5" s="2" t="s">
        <v>11</v>
      </c>
      <c r="B5" s="1">
        <v>1</v>
      </c>
      <c r="C5" s="1">
        <v>3.3</v>
      </c>
      <c r="D5" s="1">
        <v>7.9999999999999996E-6</v>
      </c>
      <c r="E5" s="1">
        <v>3.7000000000000002E-3</v>
      </c>
      <c r="F5" s="1">
        <v>4.0000000000000001E-3</v>
      </c>
      <c r="G5" s="1">
        <f t="shared" si="2"/>
        <v>1.221E-2</v>
      </c>
      <c r="H5" s="1">
        <f t="shared" si="3"/>
        <v>1.221E-2</v>
      </c>
      <c r="I5" s="1">
        <f t="shared" si="0"/>
        <v>1.32E-2</v>
      </c>
      <c r="J5" s="3">
        <f t="shared" si="1"/>
        <v>1.32E-2</v>
      </c>
    </row>
    <row r="6" spans="1:10" x14ac:dyDescent="0.3">
      <c r="A6" s="2" t="s">
        <v>9</v>
      </c>
      <c r="B6" s="1">
        <v>2</v>
      </c>
      <c r="C6" s="1">
        <v>3.3</v>
      </c>
      <c r="D6" s="1">
        <v>2.0000000000000002E-5</v>
      </c>
      <c r="E6" s="1">
        <v>1.6E-2</v>
      </c>
      <c r="F6" s="1">
        <v>1.7999999999999999E-2</v>
      </c>
      <c r="G6" s="1">
        <f t="shared" si="2"/>
        <v>5.28E-2</v>
      </c>
      <c r="H6" s="1">
        <f t="shared" si="3"/>
        <v>0.1056</v>
      </c>
      <c r="I6" s="1">
        <f t="shared" si="0"/>
        <v>5.9399999999999994E-2</v>
      </c>
      <c r="J6" s="3">
        <f t="shared" si="1"/>
        <v>0.11879999999999999</v>
      </c>
    </row>
    <row r="7" spans="1:10" x14ac:dyDescent="0.3">
      <c r="A7" s="4" t="s">
        <v>44</v>
      </c>
      <c r="B7" s="1">
        <v>4</v>
      </c>
      <c r="C7" s="1">
        <v>12</v>
      </c>
      <c r="D7" s="1">
        <v>0.14000000000000001</v>
      </c>
      <c r="E7" s="1">
        <v>0.8</v>
      </c>
      <c r="F7" s="1">
        <v>3</v>
      </c>
      <c r="G7" s="1">
        <f>PRODUCT(C7,E7)</f>
        <v>9.6000000000000014</v>
      </c>
      <c r="H7" s="1">
        <f t="shared" si="3"/>
        <v>38.400000000000006</v>
      </c>
      <c r="I7" s="1">
        <f t="shared" si="0"/>
        <v>36</v>
      </c>
      <c r="J7" s="3">
        <f t="shared" si="1"/>
        <v>144</v>
      </c>
    </row>
    <row r="8" spans="1:10" ht="15" thickBot="1" x14ac:dyDescent="0.35">
      <c r="A8" s="5" t="s">
        <v>10</v>
      </c>
      <c r="B8" s="6">
        <v>4</v>
      </c>
      <c r="C8" s="6">
        <v>5</v>
      </c>
      <c r="D8" s="6" t="s">
        <v>12</v>
      </c>
      <c r="E8" s="6">
        <v>2E-3</v>
      </c>
      <c r="F8" s="6">
        <v>3.0000000000000001E-3</v>
      </c>
      <c r="G8" s="6">
        <f t="shared" si="2"/>
        <v>0.01</v>
      </c>
      <c r="H8" s="6">
        <f t="shared" si="3"/>
        <v>0.04</v>
      </c>
      <c r="I8" s="6">
        <f t="shared" si="0"/>
        <v>1.4999999999999999E-2</v>
      </c>
      <c r="J8" s="7">
        <f t="shared" si="1"/>
        <v>0.06</v>
      </c>
    </row>
    <row r="9" spans="1:10" ht="15" thickBot="1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</row>
    <row r="10" spans="1:10" x14ac:dyDescent="0.3">
      <c r="A10" s="25" t="s">
        <v>41</v>
      </c>
      <c r="B10" s="17" t="s">
        <v>42</v>
      </c>
      <c r="C10" s="28" t="s">
        <v>43</v>
      </c>
      <c r="D10" s="28"/>
      <c r="E10" s="13" t="s">
        <v>34</v>
      </c>
      <c r="F10" s="14">
        <f>ROUNDDOWN(C12/C13,0)</f>
        <v>3</v>
      </c>
      <c r="G10" s="14" t="s">
        <v>12</v>
      </c>
      <c r="H10" s="13" t="s">
        <v>13</v>
      </c>
      <c r="I10" s="14">
        <f>SUM(J3:J8)</f>
        <v>161.172</v>
      </c>
      <c r="J10" s="15" t="s">
        <v>23</v>
      </c>
    </row>
    <row r="11" spans="1:10" x14ac:dyDescent="0.3">
      <c r="A11" s="26"/>
      <c r="B11" s="18" t="s">
        <v>28</v>
      </c>
      <c r="C11" s="1">
        <v>2</v>
      </c>
      <c r="D11" s="1" t="s">
        <v>30</v>
      </c>
      <c r="E11" s="12" t="s">
        <v>33</v>
      </c>
      <c r="F11" s="1">
        <f>F10*C13</f>
        <v>11.100000000000001</v>
      </c>
      <c r="G11" s="1" t="s">
        <v>29</v>
      </c>
      <c r="H11" s="12" t="s">
        <v>14</v>
      </c>
      <c r="I11" s="1">
        <f>SUM(H3:H8)</f>
        <v>49.052810000000001</v>
      </c>
      <c r="J11" s="3" t="s">
        <v>23</v>
      </c>
    </row>
    <row r="12" spans="1:10" x14ac:dyDescent="0.3">
      <c r="A12" s="26"/>
      <c r="B12" s="18" t="s">
        <v>31</v>
      </c>
      <c r="C12" s="1">
        <v>12</v>
      </c>
      <c r="D12" s="1" t="s">
        <v>29</v>
      </c>
      <c r="E12" s="12" t="s">
        <v>36</v>
      </c>
      <c r="F12" s="1">
        <f>ROUNDUP(I14/C14,0)</f>
        <v>3</v>
      </c>
      <c r="G12" s="1" t="s">
        <v>12</v>
      </c>
      <c r="H12" s="12" t="s">
        <v>25</v>
      </c>
      <c r="I12" s="1">
        <f>I10/F11</f>
        <v>14.519999999999998</v>
      </c>
      <c r="J12" s="3" t="s">
        <v>24</v>
      </c>
    </row>
    <row r="13" spans="1:10" x14ac:dyDescent="0.3">
      <c r="A13" s="26"/>
      <c r="B13" s="18" t="s">
        <v>32</v>
      </c>
      <c r="C13" s="1">
        <v>3.7</v>
      </c>
      <c r="D13" s="1" t="s">
        <v>29</v>
      </c>
      <c r="E13" s="12" t="s">
        <v>37</v>
      </c>
      <c r="F13" s="1">
        <f>F12*C14</f>
        <v>9.3000000000000007</v>
      </c>
      <c r="G13" s="1" t="s">
        <v>21</v>
      </c>
      <c r="H13" s="12" t="s">
        <v>19</v>
      </c>
      <c r="I13" s="1">
        <f>I11*C11</f>
        <v>98.105620000000002</v>
      </c>
      <c r="J13" s="3" t="s">
        <v>22</v>
      </c>
    </row>
    <row r="14" spans="1:10" x14ac:dyDescent="0.3">
      <c r="A14" s="26"/>
      <c r="B14" s="18" t="s">
        <v>35</v>
      </c>
      <c r="C14" s="1">
        <v>3.1</v>
      </c>
      <c r="D14" s="1" t="s">
        <v>21</v>
      </c>
      <c r="E14" s="12" t="s">
        <v>39</v>
      </c>
      <c r="F14" s="1">
        <f>C15*F12</f>
        <v>30</v>
      </c>
      <c r="G14" s="1" t="s">
        <v>24</v>
      </c>
      <c r="H14" s="12" t="s">
        <v>20</v>
      </c>
      <c r="I14" s="1">
        <f>I13/F11</f>
        <v>8.838344144144143</v>
      </c>
      <c r="J14" s="3" t="s">
        <v>21</v>
      </c>
    </row>
    <row r="15" spans="1:10" ht="15" thickBot="1" x14ac:dyDescent="0.35">
      <c r="A15" s="27"/>
      <c r="B15" s="19" t="s">
        <v>38</v>
      </c>
      <c r="C15" s="6">
        <v>10</v>
      </c>
      <c r="D15" s="6" t="s">
        <v>24</v>
      </c>
      <c r="E15" s="16" t="s">
        <v>40</v>
      </c>
      <c r="F15" s="6">
        <f>F12*F10</f>
        <v>9</v>
      </c>
      <c r="G15" s="6" t="s">
        <v>12</v>
      </c>
      <c r="H15" s="16" t="s">
        <v>26</v>
      </c>
      <c r="I15" s="6">
        <f>I12/I14</f>
        <v>1.6428416639128318</v>
      </c>
      <c r="J15" s="7" t="s">
        <v>27</v>
      </c>
    </row>
    <row r="16" spans="1:10" x14ac:dyDescent="0.3">
      <c r="E16" s="31" t="s">
        <v>45</v>
      </c>
      <c r="F16">
        <f>F14/F13</f>
        <v>3.225806451612903</v>
      </c>
      <c r="G16" s="32" t="s">
        <v>27</v>
      </c>
    </row>
  </sheetData>
  <mergeCells count="11">
    <mergeCell ref="I1:I2"/>
    <mergeCell ref="J1:J2"/>
    <mergeCell ref="A9:J9"/>
    <mergeCell ref="A10:A15"/>
    <mergeCell ref="C10:D10"/>
    <mergeCell ref="D1:F1"/>
    <mergeCell ref="A1:A2"/>
    <mergeCell ref="B1:B2"/>
    <mergeCell ref="C1:C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Ahmed Ismail</cp:lastModifiedBy>
  <dcterms:created xsi:type="dcterms:W3CDTF">2025-10-15T15:35:08Z</dcterms:created>
  <dcterms:modified xsi:type="dcterms:W3CDTF">2026-01-28T18:33:34Z</dcterms:modified>
</cp:coreProperties>
</file>